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9e6c35643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级看板" sheetId="1" r:id="Ra8b550db80a1492a"/>
    <x:sheet xmlns:r="http://schemas.openxmlformats.org/officeDocument/2006/relationships" name="学生明细" sheetId="2" r:id="Rd2fe2d77222040de"/>
    <x:sheet xmlns:r="http://schemas.openxmlformats.org/officeDocument/2006/relationships" name="学科分析" sheetId="3" r:id="R81cf3cf67723478d"/>
    <x:sheet xmlns:r="http://schemas.openxmlformats.org/officeDocument/2006/relationships" name="跟进清单" sheetId="4" r:id="R7f8045ceea1941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yyyy-mm-dd"/>
  </x:numFmts>
  <x:fonts count="12">
    <x:font>
      <x:sz val="11"/>
      <x:name val="Carlito"/>
    </x:font>
    <x:font>
      <x:sz val="10"/>
      <x:color rgb="FF18332F"/>
      <x:name val="Microsoft YaHei"/>
    </x:font>
    <x:font>
      <x:b/>
      <x:sz val="11"/>
      <x:color rgb="FFFFFFFF"/>
      <x:name val="Microsoft YaHei"/>
    </x:font>
    <x:font>
      <x:sz val="11"/>
      <x:color rgb="FF18332F"/>
      <x:name val="Microsoft YaHei"/>
    </x:font>
    <x:font>
      <x:b/>
      <x:sz val="24"/>
      <x:color rgb="FFFFF9EE"/>
      <x:name val="Microsoft YaHei"/>
    </x:font>
    <x:font>
      <x:sz val="11"/>
      <x:color rgb="FF52736B"/>
      <x:name val="Microsoft YaHei"/>
    </x:font>
    <x:font>
      <x:b/>
      <x:sz val="18"/>
      <x:color rgb="FF174C45"/>
      <x:name val="Microsoft YaHei"/>
    </x:font>
    <x:font>
      <x:b/>
      <x:sz val="15"/>
      <x:color rgb="FF174C45"/>
      <x:name val="Microsoft YaHei"/>
    </x:font>
    <x:font>
      <x:sz val="10"/>
      <x:color rgb="FF294A44"/>
      <x:name val="Microsoft YaHei"/>
    </x:font>
    <x:font>
      <x:b/>
      <x:sz val="10"/>
      <x:color rgb="FFFFFFFF"/>
      <x:name val="Microsoft YaHei"/>
    </x:font>
    <x:font>
      <x:sz val="11"/>
      <x:color rgb="FF294A44"/>
      <x:name val="Microsoft YaHei"/>
    </x:font>
    <x:font>
      <x:b/>
      <x:sz val="11"/>
      <x:color rgb="FFE06B52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4C45"/>
      </x:patternFill>
    </x:fill>
    <x:fill>
      <x:patternFill patternType="solid">
        <x:fgColor rgb="FF123B36"/>
      </x:patternFill>
    </x:fill>
    <x:fill>
      <x:patternFill patternType="solid">
        <x:fgColor rgb="FFEAF3EE"/>
      </x:patternFill>
    </x:fill>
    <x:fill>
      <x:patternFill patternType="solid">
        <x:fgColor rgb="FFFFF9EE"/>
      </x:patternFill>
    </x:fill>
    <x:fill>
      <x:patternFill patternType="solid">
        <x:fgColor rgb="FFFFFDF7"/>
      </x:patternFill>
    </x:fill>
  </x:fills>
  <x:borders count="21">
    <x:border/>
    <x:border>
      <x:right style="thin">
        <x:color rgb="FFDDE8E3"/>
      </x:right>
      <x:bottom style="thin">
        <x:color rgb="FFDDE8E3"/>
      </x:bottom>
    </x:border>
    <x:border>
      <x:left style="thin">
        <x:color rgb="FFDDE8E3"/>
      </x:left>
      <x:right style="thin">
        <x:color rgb="FFDDE8E3"/>
      </x:right>
      <x:bottom style="thin">
        <x:color rgb="FFDDE8E3"/>
      </x:bottom>
    </x:border>
    <x:border>
      <x:left style="thin">
        <x:color rgb="FFDDE8E3"/>
      </x:left>
      <x:bottom style="thin">
        <x:color rgb="FFDDE8E3"/>
      </x:bottom>
    </x:border>
    <x:border>
      <x:right style="thin">
        <x:color rgb="FFDDE8E3"/>
      </x:right>
      <x:top style="thin">
        <x:color rgb="FFDDE8E3"/>
      </x:top>
      <x:bottom style="thin">
        <x:color rgb="FFDDE8E3"/>
      </x:bottom>
    </x:border>
    <x:border>
      <x:left style="thin">
        <x:color rgb="FFDDE8E3"/>
      </x:left>
      <x:right style="thin">
        <x:color rgb="FFDDE8E3"/>
      </x:right>
      <x:top style="thin">
        <x:color rgb="FFDDE8E3"/>
      </x:top>
      <x:bottom style="thin">
        <x:color rgb="FFDDE8E3"/>
      </x:bottom>
    </x:border>
    <x:border>
      <x:left style="thin">
        <x:color rgb="FFDDE8E3"/>
      </x:left>
      <x:top style="thin">
        <x:color rgb="FFDDE8E3"/>
      </x:top>
      <x:bottom style="thin">
        <x:color rgb="FFDDE8E3"/>
      </x:bottom>
    </x:border>
    <x:border>
      <x:right style="thin">
        <x:color rgb="FFDDE8E3"/>
      </x:right>
      <x:top style="thin">
        <x:color rgb="FFDDE8E3"/>
      </x:top>
    </x:border>
    <x:border>
      <x:left style="thin">
        <x:color rgb="FFDDE8E3"/>
      </x:left>
      <x:right style="thin">
        <x:color rgb="FFDDE8E3"/>
      </x:right>
      <x:top style="thin">
        <x:color rgb="FFDDE8E3"/>
      </x:top>
    </x:border>
    <x:border>
      <x:left style="thin">
        <x:color rgb="FFDDE8E3"/>
      </x:left>
      <x:top style="thin">
        <x:color rgb="FFDDE8E3"/>
      </x:top>
    </x:border>
    <x:border>
      <x:left style="thin">
        <x:color rgb="FFC9DBD3"/>
      </x:left>
      <x:right style="thin">
        <x:color rgb="FFC9DBD3"/>
      </x:right>
      <x:top style="thin">
        <x:color rgb="FFC9DBD3"/>
      </x:top>
      <x:bottom style="thin">
        <x:color rgb="FFC9DBD3"/>
      </x:bottom>
    </x:border>
    <x:border>
      <x:left style="thin">
        <x:color rgb="FFD8E5DF"/>
      </x:left>
      <x:right style="thin">
        <x:color rgb="FFD8E5DF"/>
      </x:right>
      <x:top style="thin">
        <x:color rgb="FFD8E5DF"/>
      </x:top>
      <x:bottom style="thin">
        <x:color rgb="FFD8E5DF"/>
      </x:bottom>
    </x:border>
    <x:border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bottom style="thin">
        <x:color rgb="FFE6E0D2"/>
      </x:bottom>
    </x:border>
    <x:border>
      <x:left style="thin">
        <x:color rgb="FFE6E0D2"/>
      </x:left>
      <x:bottom style="thin">
        <x:color rgb="FFE6E0D2"/>
      </x:bottom>
    </x:border>
    <x:border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right style="thin">
        <x:color rgb="FFE6E0D2"/>
      </x:right>
      <x:top style="thin">
        <x:color rgb="FFE6E0D2"/>
      </x:top>
      <x:bottom style="thin">
        <x:color rgb="FFE6E0D2"/>
      </x:bottom>
    </x:border>
    <x:border>
      <x:left style="thin">
        <x:color rgb="FFE6E0D2"/>
      </x:left>
      <x:top style="thin">
        <x:color rgb="FFE6E0D2"/>
      </x:top>
      <x:bottom style="thin">
        <x:color rgb="FFE6E0D2"/>
      </x:bottom>
    </x:border>
    <x:border>
      <x:right style="thin">
        <x:color rgb="FFE6E0D2"/>
      </x:right>
      <x:top style="thin">
        <x:color rgb="FFE6E0D2"/>
      </x:top>
    </x:border>
    <x:border>
      <x:left style="thin">
        <x:color rgb="FFE6E0D2"/>
      </x:left>
      <x:right style="thin">
        <x:color rgb="FFE6E0D2"/>
      </x:right>
      <x:top style="thin">
        <x:color rgb="FFE6E0D2"/>
      </x:top>
    </x:border>
    <x:border>
      <x:left style="thin">
        <x:color rgb="FFE6E0D2"/>
      </x:left>
      <x:top style="thin">
        <x:color rgb="FFE6E0D2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2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0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1" xfId="0" applyNumberFormat="1" applyFont="1" applyFill="1" applyBorder="1"/>
    <x:xf numFmtId="0" fontId="8" fillId="2" borderId="11" xfId="0" applyNumberFormat="1" applyFont="1" applyFill="1" applyBorder="1"/>
    <x:xf numFmtId="0" fontId="9" fillId="2" borderId="11" xfId="0" applyNumberFormat="1" applyFont="1" applyFill="1" applyBorder="1"/>
    <x:xf numFmtId="201" fontId="8" fillId="6" borderId="11" xfId="0" applyNumberFormat="1" applyFont="1" applyFill="1" applyBorder="1"/>
    <x:xf numFmtId="0" fontId="10" fillId="6" borderId="0" xfId="0" applyNumberFormat="1" applyFont="1" applyFill="1" applyBorder="1"/>
    <x:xf numFmtId="0" fontId="10" fillId="6" borderId="12" xfId="0" applyNumberFormat="1" applyFont="1" applyFill="1" applyBorder="1"/>
    <x:xf numFmtId="0" fontId="10" fillId="6" borderId="13" xfId="0" applyNumberFormat="1" applyFont="1" applyFill="1" applyBorder="1"/>
    <x:xf numFmtId="0" fontId="10" fillId="6" borderId="14" xfId="0" applyNumberFormat="1" applyFont="1" applyFill="1" applyBorder="1"/>
    <x:xf numFmtId="0" fontId="10" fillId="6" borderId="15" xfId="0" applyNumberFormat="1" applyFont="1" applyFill="1" applyBorder="1"/>
    <x:xf numFmtId="0" fontId="10" fillId="6" borderId="16" xfId="0" applyNumberFormat="1" applyFont="1" applyFill="1" applyBorder="1"/>
    <x:xf numFmtId="0" fontId="10" fillId="6" borderId="17" xfId="0" applyNumberFormat="1" applyFont="1" applyFill="1" applyBorder="1"/>
    <x:xf numFmtId="0" fontId="10" fillId="6" borderId="18" xfId="0" applyNumberFormat="1" applyFont="1" applyFill="1" applyBorder="1"/>
    <x:xf numFmtId="0" fontId="10" fillId="6" borderId="19" xfId="0" applyNumberFormat="1" applyFont="1" applyFill="1" applyBorder="1"/>
    <x:xf numFmtId="0" fontId="10" fillId="6" borderId="20" xfId="0" applyNumberFormat="1" applyFont="1" applyFill="1" applyBorder="1"/>
    <x:xf numFmtId="0" fontId="10" fillId="6" borderId="12" xfId="0" applyNumberFormat="1" applyFont="1" applyFill="1" applyBorder="1" applyAlignment="1">
      <x:alignment wrapText="1"/>
    </x:xf>
    <x:xf numFmtId="0" fontId="10" fillId="6" borderId="13" xfId="0" applyNumberFormat="1" applyFont="1" applyFill="1" applyBorder="1" applyAlignment="1">
      <x:alignment wrapText="1"/>
    </x:xf>
    <x:xf numFmtId="0" fontId="10" fillId="6" borderId="14" xfId="0" applyNumberFormat="1" applyFont="1" applyFill="1" applyBorder="1" applyAlignment="1">
      <x:alignment wrapText="1"/>
    </x:xf>
    <x:xf numFmtId="0" fontId="10" fillId="6" borderId="15" xfId="0" applyNumberFormat="1" applyFont="1" applyFill="1" applyBorder="1" applyAlignment="1">
      <x:alignment wrapText="1"/>
    </x:xf>
    <x:xf numFmtId="0" fontId="10" fillId="6" borderId="16" xfId="0" applyNumberFormat="1" applyFont="1" applyFill="1" applyBorder="1" applyAlignment="1">
      <x:alignment wrapText="1"/>
    </x:xf>
    <x:xf numFmtId="0" fontId="10" fillId="6" borderId="17" xfId="0" applyNumberFormat="1" applyFont="1" applyFill="1" applyBorder="1" applyAlignment="1">
      <x:alignment wrapText="1"/>
    </x:xf>
    <x:xf numFmtId="0" fontId="10" fillId="6" borderId="18" xfId="0" applyNumberFormat="1" applyFont="1" applyFill="1" applyBorder="1" applyAlignment="1">
      <x:alignment wrapText="1"/>
    </x:xf>
    <x:xf numFmtId="0" fontId="10" fillId="6" borderId="19" xfId="0" applyNumberFormat="1" applyFont="1" applyFill="1" applyBorder="1" applyAlignment="1">
      <x:alignment wrapText="1"/>
    </x:xf>
    <x:xf numFmtId="0" fontId="10" fillId="6" borderId="20" xfId="0" applyNumberFormat="1" applyFont="1" applyFill="1" applyBorder="1" applyAlignment="1">
      <x:alignment wrapText="1"/>
    </x:xf>
    <x:xf numFmtId="0" fontId="11" fillId="6" borderId="12" xfId="0" applyNumberFormat="1" applyFont="1" applyFill="1" applyBorder="1" applyAlignment="1">
      <x:alignment wrapText="1"/>
    </x:xf>
    <x:xf numFmtId="0" fontId="11" fillId="6" borderId="15" xfId="0" applyNumberFormat="1" applyFont="1" applyFill="1" applyBorder="1" applyAlignment="1">
      <x:alignment wrapText="1"/>
    </x:xf>
    <x:xf numFmtId="0" fontId="11" fillId="6" borderId="18" xfId="0" applyNumberFormat="1" applyFont="1" applyFill="1" applyBorder="1" applyAlignment="1">
      <x:alignment wrapText="1"/>
    </x:xf>
    <x:xf numFmtId="202" fontId="1" fillId="0" borderId="3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a3239d2e84de2" /><Relationship Type="http://schemas.openxmlformats.org/officeDocument/2006/relationships/theme" Target="/xl/theme/theme1.xml" Id="R3ed6fc74aa0b4ba9" /><Relationship Type="http://schemas.openxmlformats.org/officeDocument/2006/relationships/sharedStrings" Target="/xl/sharedStrings.xml" Id="R01dcf7b7748441cf" /><Relationship Type="http://schemas.openxmlformats.org/officeDocument/2006/relationships/worksheet" Target="/xl/worksheets/sheet1.xml" Id="Ra8b550db80a1492a" /><Relationship Type="http://schemas.openxmlformats.org/officeDocument/2006/relationships/worksheet" Target="/xl/worksheets/sheet2.xml" Id="Rd2fe2d77222040de" /><Relationship Type="http://schemas.openxmlformats.org/officeDocument/2006/relationships/worksheet" Target="/xl/worksheets/sheet3.xml" Id="R81cf3cf67723478d" /><Relationship Type="http://schemas.openxmlformats.org/officeDocument/2006/relationships/worksheet" Target="/xl/worksheets/sheet4.xml" Id="R7f8045ceea1941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6" max="6" width="11" hidden="0" customWidth="1"/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34" t="str">
        <x:v>五年级二班｜期中学情分析看板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23" customHeight="1">
      <x:c r="A3" s="36" t="str">
        <x:v>模拟班级数据｜36 名学生｜家长会内部分析底稿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5">
      <x:c r="A5" s="41" t="str">
        <x:f>"班级人数  "&amp;TEXT(=COUNTA('学生明细'!B2:B37),"0")&amp;"人"</x:f>
        <x:v>班级人数  36人</x:v>
      </x:c>
      <x:c r="D5" s="41" t="str">
        <x:f>"三科均分  "&amp;TEXT(=AVERAGE('学生明细'!G2:G37),"0.0")&amp;"分"</x:f>
        <x:v>三科均分  83.8分</x:v>
      </x:c>
      <x:c r="G5" s="41" t="str">
        <x:f>"达标率  "&amp;TEXT(=COUNTIF('学生明细'!G2:G37,"&gt;=75")/36,"0%")&amp;""</x:f>
        <x:v>达标率  94%</x:v>
      </x:c>
      <x:c r="J5" s="41" t="str">
        <x:f>"重点跟进  "&amp;TEXT(=COUNTIF('学生明细'!L2:L37,"重点跟进"),"0")&amp;"人"</x:f>
        <x:v>重点跟进  13人</x:v>
      </x:c>
    </x:row>
    <x:row r="9">
      <x:c r="A9" s="42" t="str">
        <x:v>学科平均分</x:v>
      </x:c>
      <x:c r="B9" s="42"/>
      <x:c r="C9" s="42"/>
      <x:c r="D9" s="42"/>
      <x:c r="E9" s="42"/>
      <x:c r="F9" s="42"/>
      <x:c r="G9" s="42" t="str">
        <x:v>班级观察</x:v>
      </x:c>
      <x:c r="H9" s="42"/>
      <x:c r="I9" s="42"/>
      <x:c r="J9" s="42"/>
      <x:c r="K9" s="42"/>
      <x:c r="L9" s="42"/>
    </x:row>
    <x:row r="10" ht="27" customHeight="1">
      <x:c r="A10" s="47" t="str">
        <x:v>成绩区间</x:v>
      </x:c>
      <x:c r="B10" s="47" t="str">
        <x:v>人数</x:v>
      </x:c>
      <x:c r="C10" s="47" t="str">
        <x:v>占比</x:v>
      </x:c>
      <x:c r="D10" s="47" t="str">
        <x:v>关注类型</x:v>
      </x:c>
      <x:c r="E10" s="47" t="str">
        <x:v>人数</x:v>
      </x:c>
      <x:c r="F10" s="47" t="str">
        <x:v>说明</x:v>
      </x:c>
      <x:c r="G10" s="68" t="str">
        <x:v>优势</x:v>
      </x:c>
      <x:c r="H10" s="60" t="str">
        <x:v>课堂参与度高，三科整体稳定</x:v>
      </x:c>
      <x:c r="I10" s="60" t="str"/>
      <x:c r="J10" s="60" t="str"/>
      <x:c r="K10" s="60" t="str"/>
      <x:c r="L10" s="61" t="str"/>
    </x:row>
    <x:row r="11" ht="27" customHeight="1">
      <x:c r="A11" s="45" t="str">
        <x:v>90分及以上</x:v>
      </x:c>
      <x:c r="B11" s="45" t="n">
        <x:v>4</x:v>
      </x:c>
      <x:c r="C11" s="48" t="n">
        <x:v>0.1111111111111111</x:v>
      </x:c>
      <x:c r="D11" s="45" t="str">
        <x:v>进步表扬</x:v>
      </x:c>
      <x:c r="E11" s="45" t="n">
        <x:v>8</x:v>
      </x:c>
      <x:c r="F11" s="45" t="str">
        <x:v>强化有效方法</x:v>
      </x:c>
      <x:c r="G11" s="69" t="str">
        <x:v>风险</x:v>
      </x:c>
      <x:c r="H11" s="63" t="str">
        <x:v>数学应用题与作业持续性分化</x:v>
      </x:c>
      <x:c r="I11" s="63" t="str"/>
      <x:c r="J11" s="63" t="str"/>
      <x:c r="K11" s="63" t="str"/>
      <x:c r="L11" s="64" t="str"/>
    </x:row>
    <x:row r="12" ht="27" customHeight="1">
      <x:c r="A12" s="45" t="str">
        <x:v>80-89分</x:v>
      </x:c>
      <x:c r="B12" s="45" t="n">
        <x:v>17</x:v>
      </x:c>
      <x:c r="C12" s="48" t="n">
        <x:v>0.4722222222222222</x:v>
      </x:c>
      <x:c r="D12" s="45" t="str">
        <x:v>常规关注</x:v>
      </x:c>
      <x:c r="E12" s="45" t="n">
        <x:v>15</x:v>
      </x:c>
      <x:c r="F12" s="45" t="str">
        <x:v>保持稳定节奏</x:v>
      </x:c>
      <x:c r="G12" s="69" t="str">
        <x:v>优先行动</x:v>
      </x:c>
      <x:c r="H12" s="63" t="str">
        <x:v>两周计算微练习 + 阅读表达支架</x:v>
      </x:c>
      <x:c r="I12" s="63" t="str"/>
      <x:c r="J12" s="63" t="str"/>
      <x:c r="K12" s="63" t="str"/>
      <x:c r="L12" s="64" t="str"/>
    </x:row>
    <x:row r="13" ht="27" customHeight="1">
      <x:c r="A13" s="45" t="str">
        <x:v>75-79分</x:v>
      </x:c>
      <x:c r="B13" s="45" t="n">
        <x:v>13</x:v>
      </x:c>
      <x:c r="C13" s="48" t="n">
        <x:v>0.3611111111111111</x:v>
      </x:c>
      <x:c r="D13" s="45" t="str">
        <x:v>重点跟进</x:v>
      </x:c>
      <x:c r="E13" s="45" t="n">
        <x:v>13</x:v>
      </x:c>
      <x:c r="F13" s="45" t="str">
        <x:v>两周行动复盘</x:v>
      </x:c>
      <x:c r="G13" s="69" t="str">
        <x:v>家校协同</x:v>
      </x:c>
      <x:c r="H13" s="63" t="str">
        <x:v>固定作息、每日阅读、错题复盘</x:v>
      </x:c>
      <x:c r="I13" s="63" t="str"/>
      <x:c r="J13" s="63" t="str"/>
      <x:c r="K13" s="63" t="str"/>
      <x:c r="L13" s="64" t="str"/>
    </x:row>
    <x:row r="14" ht="27" customHeight="1">
      <x:c r="A14" s="45" t="str">
        <x:v>75分以下</x:v>
      </x:c>
      <x:c r="B14" s="45" t="n">
        <x:v>2</x:v>
      </x:c>
      <x:c r="C14" s="48" t="n">
        <x:v>0.05555555555555555</x:v>
      </x:c>
      <x:c r="D14" s="45" t="str"/>
      <x:c r="E14" s="45" t="str"/>
      <x:c r="F14" s="45" t="str">
        <x:v>个别支持</x:v>
      </x:c>
      <x:c r="G14" s="69" t="str">
        <x:v>隐私提示</x:v>
      </x:c>
      <x:c r="H14" s="63" t="str">
        <x:v>家长会仅展示汇总，不公开个人排名</x:v>
      </x:c>
      <x:c r="I14" s="63" t="str"/>
      <x:c r="J14" s="63" t="str"/>
      <x:c r="K14" s="63" t="str"/>
      <x:c r="L14" s="64" t="str"/>
    </x:row>
    <x:row r="15" ht="27" customHeight="1">
      <x:c r="A15" s="45" t="str">
        <x:v>合计</x:v>
      </x:c>
      <x:c r="B15" s="45" t="n">
        <x:v>36</x:v>
      </x:c>
      <x:c r="C15" s="48" t="n">
        <x:v>1</x:v>
      </x:c>
      <x:c r="D15" s="45" t="str">
        <x:v>合计</x:v>
      </x:c>
      <x:c r="E15" s="45" t="n">
        <x:v>36</x:v>
      </x:c>
      <x:c r="F15" s="45" t="str">
        <x:v>全部为模拟数据</x:v>
      </x:c>
      <x:c r="G15" s="69" t="str"/>
      <x:c r="H15" s="63" t="str"/>
      <x:c r="I15" s="63" t="str"/>
      <x:c r="J15" s="63" t="str"/>
      <x:c r="K15" s="63" t="str"/>
      <x:c r="L15" s="64" t="str"/>
    </x:row>
    <x:row r="16" ht="27" customHeight="1">
      <x:c r="G16" s="69" t="str">
        <x:v>数据口径</x:v>
      </x:c>
      <x:c r="H16" s="63" t="str">
        <x:v>全部为模拟数据，用于办公情景演示</x:v>
      </x:c>
      <x:c r="I16" s="63" t="str"/>
      <x:c r="J16" s="63" t="str"/>
      <x:c r="K16" s="63" t="str"/>
      <x:c r="L16" s="64" t="str"/>
    </x:row>
    <x:row r="17" ht="27" customHeight="1">
      <x:c r="G17" s="69" t="str">
        <x:v>更新时间</x:v>
      </x:c>
      <x:c r="H17" s="63" t="str">
        <x:v>2026-08-30</x:v>
      </x:c>
      <x:c r="I17" s="63" t="str"/>
      <x:c r="J17" s="63" t="str"/>
      <x:c r="K17" s="63" t="str"/>
      <x:c r="L17" s="64" t="str"/>
    </x:row>
    <x:row r="18" ht="27" customHeight="1">
      <x:c r="G18" s="70" t="str">
        <x:v>负责人</x:v>
      </x:c>
      <x:c r="H18" s="66" t="str">
        <x:v>五年级二班班主任（模拟）</x:v>
      </x:c>
      <x:c r="I18" s="66" t="str"/>
      <x:c r="J18" s="66" t="str"/>
      <x:c r="K18" s="66" t="str"/>
      <x:c r="L18" s="67" t="str"/>
    </x:row>
  </x:sheetData>
  <x:mergeCells>
    <x:mergeCell ref="A1:L2"/>
    <x:mergeCell ref="A3:L3"/>
    <x:mergeCell ref="A5:C7"/>
    <x:mergeCell ref="D5:F7"/>
    <x:mergeCell ref="G5:I7"/>
    <x:mergeCell ref="J5:L7"/>
    <x:mergeCell ref="A9:F9"/>
    <x:mergeCell ref="G9:L9"/>
    <x:mergeCell ref="H10:L10"/>
    <x:mergeCell ref="H11:L11"/>
    <x:mergeCell ref="H12:L12"/>
    <x:mergeCell ref="H13:L13"/>
    <x:mergeCell ref="H14:L14"/>
    <x:mergeCell ref="H15:L15"/>
    <x:mergeCell ref="H16:L16"/>
    <x:mergeCell ref="H17:L17"/>
    <x:mergeCell ref="H18:L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2" hidden="0" customWidth="1"/>
    <x:col min="3" max="3" width="3.7799999713897705" hidden="0" customWidth="1"/>
    <x:col min="4" max="4" width="3.7799999713897705" hidden="0" customWidth="1"/>
    <x:col min="5" max="5" width="3.7799999713897705" hidden="0" customWidth="1"/>
    <x:col min="6" max="6" width="4.21999979019165" hidden="0" customWidth="1"/>
    <x:col min="7" max="7" width="5.440000057220459" hidden="0" customWidth="1"/>
    <x:col min="8" max="8" width="7.110000133514404" hidden="0" customWidth="1"/>
    <x:col min="9" max="9" width="3.7799999713897705" hidden="0" customWidth="1"/>
    <x:col min="10" max="10" width="8.779999732971191" hidden="0" customWidth="1"/>
    <x:col min="11" max="11" width="7.110000133514404" hidden="0" customWidth="1"/>
    <x:col min="12" max="12" width="14" hidden="0" customWidth="1"/>
  </x:cols>
  <x:sheetData>
    <x:row r="1" ht="28" customHeight="1">
      <x:c r="A1" s="4" t="str">
        <x:v>学号</x:v>
      </x:c>
      <x:c r="B1" s="4" t="str">
        <x:v>姓名</x:v>
      </x:c>
      <x:c r="C1" s="4" t="str">
        <x:v>语文</x:v>
      </x:c>
      <x:c r="D1" s="4" t="str">
        <x:v>数学</x:v>
      </x:c>
      <x:c r="E1" s="4" t="str">
        <x:v>英语</x:v>
      </x:c>
      <x:c r="F1" s="4" t="str">
        <x:v>总分</x:v>
      </x:c>
      <x:c r="G1" s="4" t="str">
        <x:v>平均分</x:v>
      </x:c>
      <x:c r="H1" s="4" t="str">
        <x:v>上次平均</x:v>
      </x:c>
      <x:c r="I1" s="4" t="str">
        <x:v>变化</x:v>
      </x:c>
      <x:c r="J1" s="4" t="str">
        <x:v>作业完成率</x:v>
      </x:c>
      <x:c r="K1" s="4" t="str">
        <x:v>课堂表现</x:v>
      </x:c>
      <x:c r="L1" s="4" t="str">
        <x:v>关注建议</x:v>
      </x:c>
    </x:row>
    <x:row r="2">
      <x:c r="A2" s="5" t="str">
        <x:v>01</x:v>
      </x:c>
      <x:c r="B2" s="6" t="str">
        <x:v>林沐阳</x:v>
      </x:c>
      <x:c r="C2" s="14" t="n">
        <x:v>85</x:v>
      </x:c>
      <x:c r="D2" s="14" t="n">
        <x:v>77</x:v>
      </x:c>
      <x:c r="E2" s="14" t="n">
        <x:v>75</x:v>
      </x:c>
      <x:c r="F2" s="14" t="n">
        <x:f>SUM(C2:E2)</x:f>
        <x:v>237</x:v>
      </x:c>
      <x:c r="G2" s="14" t="n">
        <x:f>AVERAGE(C2:E2)</x:f>
        <x:v>79</x:v>
      </x:c>
      <x:c r="H2" s="14" t="n">
        <x:v>76</x:v>
      </x:c>
      <x:c r="I2" s="14" t="n">
        <x:f>G2-H2</x:f>
        <x:v>3</x:v>
      </x:c>
      <x:c r="J2" s="17" t="n">
        <x:v>0.78</x:v>
      </x:c>
      <x:c r="K2" s="6" t="str">
        <x:v>积极</x:v>
      </x:c>
      <x:c r="L2" s="7" t="str">
        <x:f>IF(OR(G2&lt;75,J2&lt;0.85),"重点跟进",IF(I2&gt;=3,"进步表扬","常规关注"))</x:f>
        <x:v>重点跟进</x:v>
      </x:c>
    </x:row>
    <x:row r="3">
      <x:c r="A3" s="8" t="str">
        <x:v>02</x:v>
      </x:c>
      <x:c r="B3" s="9" t="str">
        <x:v>陈一诺</x:v>
      </x:c>
      <x:c r="C3" s="15" t="n">
        <x:v>92</x:v>
      </x:c>
      <x:c r="D3" s="15" t="n">
        <x:v>88</x:v>
      </x:c>
      <x:c r="E3" s="15" t="n">
        <x:v>88</x:v>
      </x:c>
      <x:c r="F3" s="15" t="n">
        <x:f>SUM(C3:E3)</x:f>
        <x:v>268</x:v>
      </x:c>
      <x:c r="G3" s="15" t="n">
        <x:f>AVERAGE(C3:E3)</x:f>
        <x:v>89.33333333333333</x:v>
      </x:c>
      <x:c r="H3" s="15" t="n">
        <x:v>87</x:v>
      </x:c>
      <x:c r="I3" s="15" t="n">
        <x:f>G3-H3</x:f>
        <x:v>2.3333333333333286</x:v>
      </x:c>
      <x:c r="J3" s="18" t="n">
        <x:v>0.8500000000000001</x:v>
      </x:c>
      <x:c r="K3" s="9" t="str">
        <x:v>稳定</x:v>
      </x:c>
      <x:c r="L3" s="10" t="str">
        <x:f>IF(OR(G3&lt;75,J3&lt;0.85),"重点跟进",IF(I3&gt;=3,"进步表扬","常规关注"))</x:f>
        <x:v>常规关注</x:v>
      </x:c>
    </x:row>
    <x:row r="4">
      <x:c r="A4" s="8" t="str">
        <x:v>03</x:v>
      </x:c>
      <x:c r="B4" s="9" t="str">
        <x:v>周子涵</x:v>
      </x:c>
      <x:c r="C4" s="15" t="n">
        <x:v>72</x:v>
      </x:c>
      <x:c r="D4" s="15" t="n">
        <x:v>68</x:v>
      </x:c>
      <x:c r="E4" s="15" t="n">
        <x:v>72</x:v>
      </x:c>
      <x:c r="F4" s="15" t="n">
        <x:f>SUM(C4:E4)</x:f>
        <x:v>212</x:v>
      </x:c>
      <x:c r="G4" s="15" t="n">
        <x:f>AVERAGE(C4:E4)</x:f>
        <x:v>70.66666666666667</x:v>
      </x:c>
      <x:c r="H4" s="15" t="n">
        <x:v>70</x:v>
      </x:c>
      <x:c r="I4" s="15" t="n">
        <x:f>G4-H4</x:f>
        <x:v>0.6666666666666714</x:v>
      </x:c>
      <x:c r="J4" s="18" t="n">
        <x:v>0.92</x:v>
      </x:c>
      <x:c r="K4" s="9" t="str">
        <x:v>稳定</x:v>
      </x:c>
      <x:c r="L4" s="10" t="str">
        <x:f>IF(OR(G4&lt;75,J4&lt;0.85),"重点跟进",IF(I4&gt;=3,"进步表扬","常规关注"))</x:f>
        <x:v>重点跟进</x:v>
      </x:c>
    </x:row>
    <x:row r="5">
      <x:c r="A5" s="8" t="str">
        <x:v>04</x:v>
      </x:c>
      <x:c r="B5" s="9" t="str">
        <x:v>赵思远</x:v>
      </x:c>
      <x:c r="C5" s="15" t="n">
        <x:v>79</x:v>
      </x:c>
      <x:c r="D5" s="15" t="n">
        <x:v>79</x:v>
      </x:c>
      <x:c r="E5" s="15" t="n">
        <x:v>85</x:v>
      </x:c>
      <x:c r="F5" s="15" t="n">
        <x:f>SUM(C5:E5)</x:f>
        <x:v>243</x:v>
      </x:c>
      <x:c r="G5" s="15" t="n">
        <x:f>AVERAGE(C5:E5)</x:f>
        <x:v>81</x:v>
      </x:c>
      <x:c r="H5" s="15" t="n">
        <x:v>81</x:v>
      </x:c>
      <x:c r="I5" s="15" t="n">
        <x:f>G5-H5</x:f>
        <x:v>0</x:v>
      </x:c>
      <x:c r="J5" s="18" t="n">
        <x:v>0.99</x:v>
      </x:c>
      <x:c r="K5" s="9" t="str">
        <x:v>需鼓励</x:v>
      </x:c>
      <x:c r="L5" s="10" t="str">
        <x:f>IF(OR(G5&lt;75,J5&lt;0.85),"重点跟进",IF(I5&gt;=3,"进步表扬","常规关注"))</x:f>
        <x:v>常规关注</x:v>
      </x:c>
    </x:row>
    <x:row r="6">
      <x:c r="A6" s="8" t="str">
        <x:v>05</x:v>
      </x:c>
      <x:c r="B6" s="9" t="str">
        <x:v>许嘉禾</x:v>
      </x:c>
      <x:c r="C6" s="15" t="n">
        <x:v>86</x:v>
      </x:c>
      <x:c r="D6" s="15" t="n">
        <x:v>90</x:v>
      </x:c>
      <x:c r="E6" s="15" t="n">
        <x:v>98</x:v>
      </x:c>
      <x:c r="F6" s="15" t="n">
        <x:f>SUM(C6:E6)</x:f>
        <x:v>274</x:v>
      </x:c>
      <x:c r="G6" s="15" t="n">
        <x:f>AVERAGE(C6:E6)</x:f>
        <x:v>91.33333333333333</x:v>
      </x:c>
      <x:c r="H6" s="15" t="n">
        <x:v>92</x:v>
      </x:c>
      <x:c r="I6" s="15" t="n">
        <x:f>G6-H6</x:f>
        <x:v>-0.6666666666666714</x:v>
      </x:c>
      <x:c r="J6" s="18" t="n">
        <x:v>0.8400000000000001</x:v>
      </x:c>
      <x:c r="K6" s="9" t="str">
        <x:v>积极</x:v>
      </x:c>
      <x:c r="L6" s="10" t="str">
        <x:f>IF(OR(G6&lt;75,J6&lt;0.85),"重点跟进",IF(I6&gt;=3,"进步表扬","常规关注"))</x:f>
        <x:v>重点跟进</x:v>
      </x:c>
    </x:row>
    <x:row r="7">
      <x:c r="A7" s="8" t="str">
        <x:v>06</x:v>
      </x:c>
      <x:c r="B7" s="9" t="str">
        <x:v>王若溪</x:v>
      </x:c>
      <x:c r="C7" s="15" t="n">
        <x:v>93</x:v>
      </x:c>
      <x:c r="D7" s="15" t="n">
        <x:v>70</x:v>
      </x:c>
      <x:c r="E7" s="15" t="n">
        <x:v>82</x:v>
      </x:c>
      <x:c r="F7" s="15" t="n">
        <x:f>SUM(C7:E7)</x:f>
        <x:v>245</x:v>
      </x:c>
      <x:c r="G7" s="15" t="n">
        <x:f>AVERAGE(C7:E7)</x:f>
        <x:v>81.66666666666667</x:v>
      </x:c>
      <x:c r="H7" s="15" t="n">
        <x:v>84</x:v>
      </x:c>
      <x:c r="I7" s="15" t="n">
        <x:f>G7-H7</x:f>
        <x:v>-2.3333333333333286</x:v>
      </x:c>
      <x:c r="J7" s="18" t="n">
        <x:v>0.91</x:v>
      </x:c>
      <x:c r="K7" s="9" t="str">
        <x:v>稳定</x:v>
      </x:c>
      <x:c r="L7" s="10" t="str">
        <x:f>IF(OR(G7&lt;75,J7&lt;0.85),"重点跟进",IF(I7&gt;=3,"进步表扬","常规关注"))</x:f>
        <x:v>常规关注</x:v>
      </x:c>
    </x:row>
    <x:row r="8">
      <x:c r="A8" s="8" t="str">
        <x:v>07</x:v>
      </x:c>
      <x:c r="B8" s="9" t="str">
        <x:v>李梓萌</x:v>
      </x:c>
      <x:c r="C8" s="15" t="n">
        <x:v>73</x:v>
      </x:c>
      <x:c r="D8" s="15" t="n">
        <x:v>81</x:v>
      </x:c>
      <x:c r="E8" s="15" t="n">
        <x:v>95</x:v>
      </x:c>
      <x:c r="F8" s="15" t="n">
        <x:f>SUM(C8:E8)</x:f>
        <x:v>249</x:v>
      </x:c>
      <x:c r="G8" s="15" t="n">
        <x:f>AVERAGE(C8:E8)</x:f>
        <x:v>83</x:v>
      </x:c>
      <x:c r="H8" s="15" t="n">
        <x:v>86</x:v>
      </x:c>
      <x:c r="I8" s="15" t="n">
        <x:f>G8-H8</x:f>
        <x:v>-3</x:v>
      </x:c>
      <x:c r="J8" s="18" t="n">
        <x:v>0.98</x:v>
      </x:c>
      <x:c r="K8" s="9" t="str">
        <x:v>稳定</x:v>
      </x:c>
      <x:c r="L8" s="10" t="str">
        <x:f>IF(OR(G8&lt;75,J8&lt;0.85),"重点跟进",IF(I8&gt;=3,"进步表扬","常规关注"))</x:f>
        <x:v>常规关注</x:v>
      </x:c>
    </x:row>
    <x:row r="9">
      <x:c r="A9" s="8" t="str">
        <x:v>08</x:v>
      </x:c>
      <x:c r="B9" s="9" t="str">
        <x:v>孙浩然</x:v>
      </x:c>
      <x:c r="C9" s="15" t="n">
        <x:v>80</x:v>
      </x:c>
      <x:c r="D9" s="15" t="n">
        <x:v>92</x:v>
      </x:c>
      <x:c r="E9" s="15" t="n">
        <x:v>79</x:v>
      </x:c>
      <x:c r="F9" s="15" t="n">
        <x:f>SUM(C9:E9)</x:f>
        <x:v>251</x:v>
      </x:c>
      <x:c r="G9" s="15" t="n">
        <x:f>AVERAGE(C9:E9)</x:f>
        <x:v>83.66666666666667</x:v>
      </x:c>
      <x:c r="H9" s="15" t="n">
        <x:v>81</x:v>
      </x:c>
      <x:c r="I9" s="15" t="n">
        <x:f>G9-H9</x:f>
        <x:v>2.6666666666666714</x:v>
      </x:c>
      <x:c r="J9" s="18" t="n">
        <x:v>0.8300000000000001</x:v>
      </x:c>
      <x:c r="K9" s="9" t="str">
        <x:v>需鼓励</x:v>
      </x:c>
      <x:c r="L9" s="10" t="str">
        <x:f>IF(OR(G9&lt;75,J9&lt;0.85),"重点跟进",IF(I9&gt;=3,"进步表扬","常规关注"))</x:f>
        <x:v>重点跟进</x:v>
      </x:c>
    </x:row>
    <x:row r="10">
      <x:c r="A10" s="8" t="str">
        <x:v>09</x:v>
      </x:c>
      <x:c r="B10" s="9" t="str">
        <x:v>吴语桐</x:v>
      </x:c>
      <x:c r="C10" s="15" t="n">
        <x:v>87</x:v>
      </x:c>
      <x:c r="D10" s="15" t="n">
        <x:v>72</x:v>
      </x:c>
      <x:c r="E10" s="15" t="n">
        <x:v>92</x:v>
      </x:c>
      <x:c r="F10" s="15" t="n">
        <x:f>SUM(C10:E10)</x:f>
        <x:v>251</x:v>
      </x:c>
      <x:c r="G10" s="15" t="n">
        <x:f>AVERAGE(C10:E10)</x:f>
        <x:v>83.66666666666667</x:v>
      </x:c>
      <x:c r="H10" s="15" t="n">
        <x:v>82</x:v>
      </x:c>
      <x:c r="I10" s="15" t="n">
        <x:f>G10-H10</x:f>
        <x:v>1.6666666666666714</x:v>
      </x:c>
      <x:c r="J10" s="18" t="n">
        <x:v>0.9</x:v>
      </x:c>
      <x:c r="K10" s="9" t="str">
        <x:v>积极</x:v>
      </x:c>
      <x:c r="L10" s="10" t="str">
        <x:f>IF(OR(G10&lt;75,J10&lt;0.85),"重点跟进",IF(I10&gt;=3,"进步表扬","常规关注"))</x:f>
        <x:v>常规关注</x:v>
      </x:c>
    </x:row>
    <x:row r="11">
      <x:c r="A11" s="8" t="str">
        <x:v>10</x:v>
      </x:c>
      <x:c r="B11" s="9" t="str">
        <x:v>郑宇辰</x:v>
      </x:c>
      <x:c r="C11" s="15" t="n">
        <x:v>94</x:v>
      </x:c>
      <x:c r="D11" s="15" t="n">
        <x:v>83</x:v>
      </x:c>
      <x:c r="E11" s="15" t="n">
        <x:v>76</x:v>
      </x:c>
      <x:c r="F11" s="15" t="n">
        <x:f>SUM(C11:E11)</x:f>
        <x:v>253</x:v>
      </x:c>
      <x:c r="G11" s="15" t="n">
        <x:f>AVERAGE(C11:E11)</x:f>
        <x:v>84.33333333333333</x:v>
      </x:c>
      <x:c r="H11" s="15" t="n">
        <x:v>83</x:v>
      </x:c>
      <x:c r="I11" s="15" t="n">
        <x:f>G11-H11</x:f>
        <x:v>1.3333333333333286</x:v>
      </x:c>
      <x:c r="J11" s="18" t="n">
        <x:v>0.97</x:v>
      </x:c>
      <x:c r="K11" s="9" t="str">
        <x:v>稳定</x:v>
      </x:c>
      <x:c r="L11" s="10" t="str">
        <x:f>IF(OR(G11&lt;75,J11&lt;0.85),"重点跟进",IF(I11&gt;=3,"进步表扬","常规关注"))</x:f>
        <x:v>常规关注</x:v>
      </x:c>
    </x:row>
    <x:row r="12">
      <x:c r="A12" s="8" t="str">
        <x:v>11</x:v>
      </x:c>
      <x:c r="B12" s="9" t="str">
        <x:v>冯可欣</x:v>
      </x:c>
      <x:c r="C12" s="15" t="n">
        <x:v>74</x:v>
      </x:c>
      <x:c r="D12" s="15" t="n">
        <x:v>94</x:v>
      </x:c>
      <x:c r="E12" s="15" t="n">
        <x:v>89</x:v>
      </x:c>
      <x:c r="F12" s="15" t="n">
        <x:f>SUM(C12:E12)</x:f>
        <x:v>257</x:v>
      </x:c>
      <x:c r="G12" s="15" t="n">
        <x:f>AVERAGE(C12:E12)</x:f>
        <x:v>85.66666666666667</x:v>
      </x:c>
      <x:c r="H12" s="15" t="n">
        <x:v>86</x:v>
      </x:c>
      <x:c r="I12" s="15" t="n">
        <x:f>G12-H12</x:f>
        <x:v>-0.3333333333333286</x:v>
      </x:c>
      <x:c r="J12" s="18" t="n">
        <x:v>0.8200000000000001</x:v>
      </x:c>
      <x:c r="K12" s="9" t="str">
        <x:v>稳定</x:v>
      </x:c>
      <x:c r="L12" s="10" t="str">
        <x:f>IF(OR(G12&lt;75,J12&lt;0.85),"重点跟进",IF(I12&gt;=3,"进步表扬","常规关注"))</x:f>
        <x:v>重点跟进</x:v>
      </x:c>
    </x:row>
    <x:row r="13">
      <x:c r="A13" s="8" t="str">
        <x:v>12</x:v>
      </x:c>
      <x:c r="B13" s="9" t="str">
        <x:v>蒋昊泽</x:v>
      </x:c>
      <x:c r="C13" s="15" t="n">
        <x:v>81</x:v>
      </x:c>
      <x:c r="D13" s="15" t="n">
        <x:v>74</x:v>
      </x:c>
      <x:c r="E13" s="15" t="n">
        <x:v>73</x:v>
      </x:c>
      <x:c r="F13" s="15" t="n">
        <x:f>SUM(C13:E13)</x:f>
        <x:v>228</x:v>
      </x:c>
      <x:c r="G13" s="15" t="n">
        <x:f>AVERAGE(C13:E13)</x:f>
        <x:v>76</x:v>
      </x:c>
      <x:c r="H13" s="15" t="n">
        <x:v>77</x:v>
      </x:c>
      <x:c r="I13" s="15" t="n">
        <x:f>G13-H13</x:f>
        <x:v>-1</x:v>
      </x:c>
      <x:c r="J13" s="18" t="n">
        <x:v>0.89</x:v>
      </x:c>
      <x:c r="K13" s="9" t="str">
        <x:v>需鼓励</x:v>
      </x:c>
      <x:c r="L13" s="10" t="str">
        <x:f>IF(OR(G13&lt;75,J13&lt;0.85),"重点跟进",IF(I13&gt;=3,"进步表扬","常规关注"))</x:f>
        <x:v>常规关注</x:v>
      </x:c>
    </x:row>
    <x:row r="14">
      <x:c r="A14" s="8" t="str">
        <x:v>13</x:v>
      </x:c>
      <x:c r="B14" s="9" t="str">
        <x:v>沈安然</x:v>
      </x:c>
      <x:c r="C14" s="15" t="n">
        <x:v>88</x:v>
      </x:c>
      <x:c r="D14" s="15" t="n">
        <x:v>85</x:v>
      </x:c>
      <x:c r="E14" s="15" t="n">
        <x:v>86</x:v>
      </x:c>
      <x:c r="F14" s="15" t="n">
        <x:f>SUM(C14:E14)</x:f>
        <x:v>259</x:v>
      </x:c>
      <x:c r="G14" s="15" t="n">
        <x:f>AVERAGE(C14:E14)</x:f>
        <x:v>86.33333333333333</x:v>
      </x:c>
      <x:c r="H14" s="15" t="n">
        <x:v>88</x:v>
      </x:c>
      <x:c r="I14" s="15" t="n">
        <x:f>G14-H14</x:f>
        <x:v>-1.6666666666666714</x:v>
      </x:c>
      <x:c r="J14" s="18" t="n">
        <x:v>0.96</x:v>
      </x:c>
      <x:c r="K14" s="9" t="str">
        <x:v>积极</x:v>
      </x:c>
      <x:c r="L14" s="10" t="str">
        <x:f>IF(OR(G14&lt;75,J14&lt;0.85),"重点跟进",IF(I14&gt;=3,"进步表扬","常规关注"))</x:f>
        <x:v>常规关注</x:v>
      </x:c>
    </x:row>
    <x:row r="15">
      <x:c r="A15" s="8" t="str">
        <x:v>14</x:v>
      </x:c>
      <x:c r="B15" s="9" t="str">
        <x:v>韩雨泽</x:v>
      </x:c>
      <x:c r="C15" s="15" t="n">
        <x:v>95</x:v>
      </x:c>
      <x:c r="D15" s="15" t="n">
        <x:v>96</x:v>
      </x:c>
      <x:c r="E15" s="15" t="n">
        <x:v>70</x:v>
      </x:c>
      <x:c r="F15" s="15" t="n">
        <x:f>SUM(C15:E15)</x:f>
        <x:v>261</x:v>
      </x:c>
      <x:c r="G15" s="15" t="n">
        <x:f>AVERAGE(C15:E15)</x:f>
        <x:v>87</x:v>
      </x:c>
      <x:c r="H15" s="15" t="n">
        <x:v>90</x:v>
      </x:c>
      <x:c r="I15" s="15" t="n">
        <x:f>G15-H15</x:f>
        <x:v>-3</x:v>
      </x:c>
      <x:c r="J15" s="18" t="n">
        <x:v>0.81</x:v>
      </x:c>
      <x:c r="K15" s="9" t="str">
        <x:v>稳定</x:v>
      </x:c>
      <x:c r="L15" s="10" t="str">
        <x:f>IF(OR(G15&lt;75,J15&lt;0.85),"重点跟进",IF(I15&gt;=3,"进步表扬","常规关注"))</x:f>
        <x:v>重点跟进</x:v>
      </x:c>
    </x:row>
    <x:row r="16">
      <x:c r="A16" s="8" t="str">
        <x:v>15</x:v>
      </x:c>
      <x:c r="B16" s="9" t="str">
        <x:v>唐欣怡</x:v>
      </x:c>
      <x:c r="C16" s="15" t="n">
        <x:v>75</x:v>
      </x:c>
      <x:c r="D16" s="15" t="n">
        <x:v>76</x:v>
      </x:c>
      <x:c r="E16" s="15" t="n">
        <x:v>83</x:v>
      </x:c>
      <x:c r="F16" s="15" t="n">
        <x:f>SUM(C16:E16)</x:f>
        <x:v>234</x:v>
      </x:c>
      <x:c r="G16" s="15" t="n">
        <x:f>AVERAGE(C16:E16)</x:f>
        <x:v>78</x:v>
      </x:c>
      <x:c r="H16" s="15" t="n">
        <x:v>75</x:v>
      </x:c>
      <x:c r="I16" s="15" t="n">
        <x:f>G16-H16</x:f>
        <x:v>3</x:v>
      </x:c>
      <x:c r="J16" s="18" t="n">
        <x:v>0.88</x:v>
      </x:c>
      <x:c r="K16" s="9" t="str">
        <x:v>稳定</x:v>
      </x:c>
      <x:c r="L16" s="10" t="str">
        <x:f>IF(OR(G16&lt;75,J16&lt;0.85),"重点跟进",IF(I16&gt;=3,"进步表扬","常规关注"))</x:f>
        <x:v>进步表扬</x:v>
      </x:c>
    </x:row>
    <x:row r="17">
      <x:c r="A17" s="8" t="str">
        <x:v>16</x:v>
      </x:c>
      <x:c r="B17" s="9" t="str">
        <x:v>陆嘉树</x:v>
      </x:c>
      <x:c r="C17" s="15" t="n">
        <x:v>82</x:v>
      </x:c>
      <x:c r="D17" s="15" t="n">
        <x:v>87</x:v>
      </x:c>
      <x:c r="E17" s="15" t="n">
        <x:v>96</x:v>
      </x:c>
      <x:c r="F17" s="15" t="n">
        <x:f>SUM(C17:E17)</x:f>
        <x:v>265</x:v>
      </x:c>
      <x:c r="G17" s="15" t="n">
        <x:f>AVERAGE(C17:E17)</x:f>
        <x:v>88.33333333333333</x:v>
      </x:c>
      <x:c r="H17" s="15" t="n">
        <x:v>86</x:v>
      </x:c>
      <x:c r="I17" s="15" t="n">
        <x:f>G17-H17</x:f>
        <x:v>2.3333333333333286</x:v>
      </x:c>
      <x:c r="J17" s="18" t="n">
        <x:v>0.9500000000000001</x:v>
      </x:c>
      <x:c r="K17" s="9" t="str">
        <x:v>需鼓励</x:v>
      </x:c>
      <x:c r="L17" s="10" t="str">
        <x:f>IF(OR(G17&lt;75,J17&lt;0.85),"重点跟进",IF(I17&gt;=3,"进步表扬","常规关注"))</x:f>
        <x:v>常规关注</x:v>
      </x:c>
    </x:row>
    <x:row r="18">
      <x:c r="A18" s="8" t="str">
        <x:v>17</x:v>
      </x:c>
      <x:c r="B18" s="9" t="str">
        <x:v>顾念初</x:v>
      </x:c>
      <x:c r="C18" s="15" t="n">
        <x:v>89</x:v>
      </x:c>
      <x:c r="D18" s="15" t="n">
        <x:v>98</x:v>
      </x:c>
      <x:c r="E18" s="15" t="n">
        <x:v>80</x:v>
      </x:c>
      <x:c r="F18" s="15" t="n">
        <x:f>SUM(C18:E18)</x:f>
        <x:v>267</x:v>
      </x:c>
      <x:c r="G18" s="15" t="n">
        <x:f>AVERAGE(C18:E18)</x:f>
        <x:v>89</x:v>
      </x:c>
      <x:c r="H18" s="15" t="n">
        <x:v>88</x:v>
      </x:c>
      <x:c r="I18" s="15" t="n">
        <x:f>G18-H18</x:f>
        <x:v>1</x:v>
      </x:c>
      <x:c r="J18" s="18" t="n">
        <x:v>0.8</x:v>
      </x:c>
      <x:c r="K18" s="9" t="str">
        <x:v>积极</x:v>
      </x:c>
      <x:c r="L18" s="10" t="str">
        <x:f>IF(OR(G18&lt;75,J18&lt;0.85),"重点跟进",IF(I18&gt;=3,"进步表扬","常规关注"))</x:f>
        <x:v>重点跟进</x:v>
      </x:c>
    </x:row>
    <x:row r="19">
      <x:c r="A19" s="8" t="str">
        <x:v>18</x:v>
      </x:c>
      <x:c r="B19" s="9" t="str">
        <x:v>谢景行</x:v>
      </x:c>
      <x:c r="C19" s="15" t="n">
        <x:v>96</x:v>
      </x:c>
      <x:c r="D19" s="15" t="n">
        <x:v>78</x:v>
      </x:c>
      <x:c r="E19" s="15" t="n">
        <x:v>93</x:v>
      </x:c>
      <x:c r="F19" s="15" t="n">
        <x:f>SUM(C19:E19)</x:f>
        <x:v>267</x:v>
      </x:c>
      <x:c r="G19" s="15" t="n">
        <x:f>AVERAGE(C19:E19)</x:f>
        <x:v>89</x:v>
      </x:c>
      <x:c r="H19" s="15" t="n">
        <x:v>89</x:v>
      </x:c>
      <x:c r="I19" s="15" t="n">
        <x:f>G19-H19</x:f>
        <x:v>0</x:v>
      </x:c>
      <x:c r="J19" s="18" t="n">
        <x:v>0.87</x:v>
      </x:c>
      <x:c r="K19" s="9" t="str">
        <x:v>稳定</x:v>
      </x:c>
      <x:c r="L19" s="10" t="str">
        <x:f>IF(OR(G19&lt;75,J19&lt;0.85),"重点跟进",IF(I19&gt;=3,"进步表扬","常规关注"))</x:f>
        <x:v>常规关注</x:v>
      </x:c>
    </x:row>
    <x:row r="20">
      <x:c r="A20" s="8" t="str">
        <x:v>19</x:v>
      </x:c>
      <x:c r="B20" s="9" t="str">
        <x:v>宋知夏</x:v>
      </x:c>
      <x:c r="C20" s="15" t="n">
        <x:v>76</x:v>
      </x:c>
      <x:c r="D20" s="15" t="n">
        <x:v>89</x:v>
      </x:c>
      <x:c r="E20" s="15" t="n">
        <x:v>77</x:v>
      </x:c>
      <x:c r="F20" s="15" t="n">
        <x:f>SUM(C20:E20)</x:f>
        <x:v>242</x:v>
      </x:c>
      <x:c r="G20" s="15" t="n">
        <x:f>AVERAGE(C20:E20)</x:f>
        <x:v>80.66666666666667</x:v>
      </x:c>
      <x:c r="H20" s="15" t="n">
        <x:v>82</x:v>
      </x:c>
      <x:c r="I20" s="15" t="n">
        <x:f>G20-H20</x:f>
        <x:v>-1.3333333333333286</x:v>
      </x:c>
      <x:c r="J20" s="18" t="n">
        <x:v>0.9400000000000001</x:v>
      </x:c>
      <x:c r="K20" s="9" t="str">
        <x:v>稳定</x:v>
      </x:c>
      <x:c r="L20" s="10" t="str">
        <x:f>IF(OR(G20&lt;75,J20&lt;0.85),"重点跟进",IF(I20&gt;=3,"进步表扬","常规关注"))</x:f>
        <x:v>常规关注</x:v>
      </x:c>
    </x:row>
    <x:row r="21">
      <x:c r="A21" s="8" t="str">
        <x:v>20</x:v>
      </x:c>
      <x:c r="B21" s="9" t="str">
        <x:v>梁书瑶</x:v>
      </x:c>
      <x:c r="C21" s="15" t="n">
        <x:v>83</x:v>
      </x:c>
      <x:c r="D21" s="15" t="n">
        <x:v>69</x:v>
      </x:c>
      <x:c r="E21" s="15" t="n">
        <x:v>90</x:v>
      </x:c>
      <x:c r="F21" s="15" t="n">
        <x:f>SUM(C21:E21)</x:f>
        <x:v>242</x:v>
      </x:c>
      <x:c r="G21" s="15" t="n">
        <x:f>AVERAGE(C21:E21)</x:f>
        <x:v>80.66666666666667</x:v>
      </x:c>
      <x:c r="H21" s="15" t="n">
        <x:v>83</x:v>
      </x:c>
      <x:c r="I21" s="15" t="n">
        <x:f>G21-H21</x:f>
        <x:v>-2.3333333333333286</x:v>
      </x:c>
      <x:c r="J21" s="18" t="n">
        <x:v>0.79</x:v>
      </x:c>
      <x:c r="K21" s="9" t="str">
        <x:v>需鼓励</x:v>
      </x:c>
      <x:c r="L21" s="10" t="str">
        <x:f>IF(OR(G21&lt;75,J21&lt;0.85),"重点跟进",IF(I21&gt;=3,"进步表扬","常规关注"))</x:f>
        <x:v>重点跟进</x:v>
      </x:c>
    </x:row>
    <x:row r="22">
      <x:c r="A22" s="8" t="str">
        <x:v>21</x:v>
      </x:c>
      <x:c r="B22" s="9" t="str">
        <x:v>罗星辰</x:v>
      </x:c>
      <x:c r="C22" s="15" t="n">
        <x:v>90</x:v>
      </x:c>
      <x:c r="D22" s="15" t="n">
        <x:v>80</x:v>
      </x:c>
      <x:c r="E22" s="15" t="n">
        <x:v>74</x:v>
      </x:c>
      <x:c r="F22" s="15" t="n">
        <x:f>SUM(C22:E22)</x:f>
        <x:v>244</x:v>
      </x:c>
      <x:c r="G22" s="15" t="n">
        <x:f>AVERAGE(C22:E22)</x:f>
        <x:v>81.33333333333333</x:v>
      </x:c>
      <x:c r="H22" s="15" t="n">
        <x:v>84</x:v>
      </x:c>
      <x:c r="I22" s="15" t="n">
        <x:f>G22-H22</x:f>
        <x:v>-2.6666666666666714</x:v>
      </x:c>
      <x:c r="J22" s="18" t="n">
        <x:v>0.86</x:v>
      </x:c>
      <x:c r="K22" s="9" t="str">
        <x:v>积极</x:v>
      </x:c>
      <x:c r="L22" s="10" t="str">
        <x:f>IF(OR(G22&lt;75,J22&lt;0.85),"重点跟进",IF(I22&gt;=3,"进步表扬","常规关注"))</x:f>
        <x:v>常规关注</x:v>
      </x:c>
    </x:row>
    <x:row r="23">
      <x:c r="A23" s="8" t="str">
        <x:v>22</x:v>
      </x:c>
      <x:c r="B23" s="9" t="str">
        <x:v>何嘉言</x:v>
      </x:c>
      <x:c r="C23" s="15" t="n">
        <x:v>97</x:v>
      </x:c>
      <x:c r="D23" s="15" t="n">
        <x:v>91</x:v>
      </x:c>
      <x:c r="E23" s="15" t="n">
        <x:v>87</x:v>
      </x:c>
      <x:c r="F23" s="15" t="n">
        <x:f>SUM(C23:E23)</x:f>
        <x:v>275</x:v>
      </x:c>
      <x:c r="G23" s="15" t="n">
        <x:f>AVERAGE(C23:E23)</x:f>
        <x:v>91.66666666666667</x:v>
      </x:c>
      <x:c r="H23" s="15" t="n">
        <x:v>89</x:v>
      </x:c>
      <x:c r="I23" s="15" t="n">
        <x:f>G23-H23</x:f>
        <x:v>2.6666666666666714</x:v>
      </x:c>
      <x:c r="J23" s="18" t="n">
        <x:v>0.93</x:v>
      </x:c>
      <x:c r="K23" s="9" t="str">
        <x:v>稳定</x:v>
      </x:c>
      <x:c r="L23" s="10" t="str">
        <x:f>IF(OR(G23&lt;75,J23&lt;0.85),"重点跟进",IF(I23&gt;=3,"进步表扬","常规关注"))</x:f>
        <x:v>常规关注</x:v>
      </x:c>
    </x:row>
    <x:row r="24">
      <x:c r="A24" s="8" t="str">
        <x:v>23</x:v>
      </x:c>
      <x:c r="B24" s="9" t="str">
        <x:v>高子墨</x:v>
      </x:c>
      <x:c r="C24" s="15" t="n">
        <x:v>77</x:v>
      </x:c>
      <x:c r="D24" s="15" t="n">
        <x:v>71</x:v>
      </x:c>
      <x:c r="E24" s="15" t="n">
        <x:v>71</x:v>
      </x:c>
      <x:c r="F24" s="15" t="n">
        <x:f>SUM(C24:E24)</x:f>
        <x:v>219</x:v>
      </x:c>
      <x:c r="G24" s="15" t="n">
        <x:f>AVERAGE(C24:E24)</x:f>
        <x:v>73</x:v>
      </x:c>
      <x:c r="H24" s="15" t="n">
        <x:v>71</x:v>
      </x:c>
      <x:c r="I24" s="15" t="n">
        <x:f>G24-H24</x:f>
        <x:v>2</x:v>
      </x:c>
      <x:c r="J24" s="18" t="n">
        <x:v>0.78</x:v>
      </x:c>
      <x:c r="K24" s="9" t="str">
        <x:v>稳定</x:v>
      </x:c>
      <x:c r="L24" s="10" t="str">
        <x:f>IF(OR(G24&lt;75,J24&lt;0.85),"重点跟进",IF(I24&gt;=3,"进步表扬","常规关注"))</x:f>
        <x:v>重点跟进</x:v>
      </x:c>
    </x:row>
    <x:row r="25">
      <x:c r="A25" s="8" t="str">
        <x:v>24</x:v>
      </x:c>
      <x:c r="B25" s="9" t="str">
        <x:v>彭语乔</x:v>
      </x:c>
      <x:c r="C25" s="15" t="n">
        <x:v>84</x:v>
      </x:c>
      <x:c r="D25" s="15" t="n">
        <x:v>82</x:v>
      </x:c>
      <x:c r="E25" s="15" t="n">
        <x:v>84</x:v>
      </x:c>
      <x:c r="F25" s="15" t="n">
        <x:f>SUM(C25:E25)</x:f>
        <x:v>250</x:v>
      </x:c>
      <x:c r="G25" s="15" t="n">
        <x:f>AVERAGE(C25:E25)</x:f>
        <x:v>83.33333333333333</x:v>
      </x:c>
      <x:c r="H25" s="15" t="n">
        <x:v>82</x:v>
      </x:c>
      <x:c r="I25" s="15" t="n">
        <x:f>G25-H25</x:f>
        <x:v>1.3333333333333286</x:v>
      </x:c>
      <x:c r="J25" s="18" t="n">
        <x:v>0.8500000000000001</x:v>
      </x:c>
      <x:c r="K25" s="9" t="str">
        <x:v>需鼓励</x:v>
      </x:c>
      <x:c r="L25" s="10" t="str">
        <x:f>IF(OR(G25&lt;75,J25&lt;0.85),"重点跟进",IF(I25&gt;=3,"进步表扬","常规关注"))</x:f>
        <x:v>常规关注</x:v>
      </x:c>
    </x:row>
    <x:row r="26">
      <x:c r="A26" s="8" t="str">
        <x:v>25</x:v>
      </x:c>
      <x:c r="B26" s="9" t="str">
        <x:v>曹明轩</x:v>
      </x:c>
      <x:c r="C26" s="15" t="n">
        <x:v>91</x:v>
      </x:c>
      <x:c r="D26" s="15" t="n">
        <x:v>93</x:v>
      </x:c>
      <x:c r="E26" s="15" t="n">
        <x:v>97</x:v>
      </x:c>
      <x:c r="F26" s="15" t="n">
        <x:f>SUM(C26:E26)</x:f>
        <x:v>281</x:v>
      </x:c>
      <x:c r="G26" s="15" t="n">
        <x:f>AVERAGE(C26:E26)</x:f>
        <x:v>93.66666666666667</x:v>
      </x:c>
      <x:c r="H26" s="15" t="n">
        <x:v>94</x:v>
      </x:c>
      <x:c r="I26" s="15" t="n">
        <x:f>G26-H26</x:f>
        <x:v>-0.3333333333333286</x:v>
      </x:c>
      <x:c r="J26" s="18" t="n">
        <x:v>0.92</x:v>
      </x:c>
      <x:c r="K26" s="9" t="str">
        <x:v>积极</x:v>
      </x:c>
      <x:c r="L26" s="10" t="str">
        <x:f>IF(OR(G26&lt;75,J26&lt;0.85),"重点跟进",IF(I26&gt;=3,"进步表扬","常规关注"))</x:f>
        <x:v>常规关注</x:v>
      </x:c>
    </x:row>
    <x:row r="27">
      <x:c r="A27" s="8" t="str">
        <x:v>26</x:v>
      </x:c>
      <x:c r="B27" s="9" t="str">
        <x:v>邓可心</x:v>
      </x:c>
      <x:c r="C27" s="15" t="n">
        <x:v>98</x:v>
      </x:c>
      <x:c r="D27" s="15" t="n">
        <x:v>73</x:v>
      </x:c>
      <x:c r="E27" s="15" t="n">
        <x:v>81</x:v>
      </x:c>
      <x:c r="F27" s="15" t="n">
        <x:f>SUM(C27:E27)</x:f>
        <x:v>252</x:v>
      </x:c>
      <x:c r="G27" s="15" t="n">
        <x:f>AVERAGE(C27:E27)</x:f>
        <x:v>84</x:v>
      </x:c>
      <x:c r="H27" s="15" t="n">
        <x:v>85</x:v>
      </x:c>
      <x:c r="I27" s="15" t="n">
        <x:f>G27-H27</x:f>
        <x:v>-1</x:v>
      </x:c>
      <x:c r="J27" s="18" t="n">
        <x:v>0.99</x:v>
      </x:c>
      <x:c r="K27" s="9" t="str">
        <x:v>稳定</x:v>
      </x:c>
      <x:c r="L27" s="10" t="str">
        <x:f>IF(OR(G27&lt;75,J27&lt;0.85),"重点跟进",IF(I27&gt;=3,"进步表扬","常规关注"))</x:f>
        <x:v>常规关注</x:v>
      </x:c>
    </x:row>
    <x:row r="28">
      <x:c r="A28" s="8" t="str">
        <x:v>27</x:v>
      </x:c>
      <x:c r="B28" s="9" t="str">
        <x:v>潘奕辰</x:v>
      </x:c>
      <x:c r="C28" s="15" t="n">
        <x:v>78</x:v>
      </x:c>
      <x:c r="D28" s="15" t="n">
        <x:v>84</x:v>
      </x:c>
      <x:c r="E28" s="15" t="n">
        <x:v>94</x:v>
      </x:c>
      <x:c r="F28" s="15" t="n">
        <x:f>SUM(C28:E28)</x:f>
        <x:v>256</x:v>
      </x:c>
      <x:c r="G28" s="15" t="n">
        <x:f>AVERAGE(C28:E28)</x:f>
        <x:v>85.33333333333333</x:v>
      </x:c>
      <x:c r="H28" s="15" t="n">
        <x:v>87</x:v>
      </x:c>
      <x:c r="I28" s="15" t="n">
        <x:f>G28-H28</x:f>
        <x:v>-1.6666666666666714</x:v>
      </x:c>
      <x:c r="J28" s="18" t="n">
        <x:v>0.8400000000000001</x:v>
      </x:c>
      <x:c r="K28" s="9" t="str">
        <x:v>稳定</x:v>
      </x:c>
      <x:c r="L28" s="10" t="str">
        <x:f>IF(OR(G28&lt;75,J28&lt;0.85),"重点跟进",IF(I28&gt;=3,"进步表扬","常规关注"))</x:f>
        <x:v>重点跟进</x:v>
      </x:c>
    </x:row>
    <x:row r="29">
      <x:c r="A29" s="8" t="str">
        <x:v>28</x:v>
      </x:c>
      <x:c r="B29" s="9" t="str">
        <x:v>袁清妍</x:v>
      </x:c>
      <x:c r="C29" s="15" t="n">
        <x:v>85</x:v>
      </x:c>
      <x:c r="D29" s="15" t="n">
        <x:v>95</x:v>
      </x:c>
      <x:c r="E29" s="15" t="n">
        <x:v>78</x:v>
      </x:c>
      <x:c r="F29" s="15" t="n">
        <x:f>SUM(C29:E29)</x:f>
        <x:v>258</x:v>
      </x:c>
      <x:c r="G29" s="15" t="n">
        <x:f>AVERAGE(C29:E29)</x:f>
        <x:v>86</x:v>
      </x:c>
      <x:c r="H29" s="15" t="n">
        <x:v>89</x:v>
      </x:c>
      <x:c r="I29" s="15" t="n">
        <x:f>G29-H29</x:f>
        <x:v>-3</x:v>
      </x:c>
      <x:c r="J29" s="18" t="n">
        <x:v>0.91</x:v>
      </x:c>
      <x:c r="K29" s="9" t="str">
        <x:v>需鼓励</x:v>
      </x:c>
      <x:c r="L29" s="10" t="str">
        <x:f>IF(OR(G29&lt;75,J29&lt;0.85),"重点跟进",IF(I29&gt;=3,"进步表扬","常规关注"))</x:f>
        <x:v>常规关注</x:v>
      </x:c>
    </x:row>
    <x:row r="30">
      <x:c r="A30" s="8" t="str">
        <x:v>29</x:v>
      </x:c>
      <x:c r="B30" s="9" t="str">
        <x:v>董亦航</x:v>
      </x:c>
      <x:c r="C30" s="15" t="n">
        <x:v>92</x:v>
      </x:c>
      <x:c r="D30" s="15" t="n">
        <x:v>75</x:v>
      </x:c>
      <x:c r="E30" s="15" t="n">
        <x:v>91</x:v>
      </x:c>
      <x:c r="F30" s="15" t="n">
        <x:f>SUM(C30:E30)</x:f>
        <x:v>258</x:v>
      </x:c>
      <x:c r="G30" s="15" t="n">
        <x:f>AVERAGE(C30:E30)</x:f>
        <x:v>86</x:v>
      </x:c>
      <x:c r="H30" s="15" t="n">
        <x:v>83</x:v>
      </x:c>
      <x:c r="I30" s="15" t="n">
        <x:f>G30-H30</x:f>
        <x:v>3</x:v>
      </x:c>
      <x:c r="J30" s="18" t="n">
        <x:v>0.98</x:v>
      </x:c>
      <x:c r="K30" s="9" t="str">
        <x:v>积极</x:v>
      </x:c>
      <x:c r="L30" s="10" t="str">
        <x:f>IF(OR(G30&lt;75,J30&lt;0.85),"重点跟进",IF(I30&gt;=3,"进步表扬","常规关注"))</x:f>
        <x:v>进步表扬</x:v>
      </x:c>
    </x:row>
    <x:row r="31">
      <x:c r="A31" s="8" t="str">
        <x:v>30</x:v>
      </x:c>
      <x:c r="B31" s="9" t="str">
        <x:v>叶舒然</x:v>
      </x:c>
      <x:c r="C31" s="15" t="n">
        <x:v>72</x:v>
      </x:c>
      <x:c r="D31" s="15" t="n">
        <x:v>86</x:v>
      </x:c>
      <x:c r="E31" s="15" t="n">
        <x:v>75</x:v>
      </x:c>
      <x:c r="F31" s="15" t="n">
        <x:f>SUM(C31:E31)</x:f>
        <x:v>233</x:v>
      </x:c>
      <x:c r="G31" s="15" t="n">
        <x:f>AVERAGE(C31:E31)</x:f>
        <x:v>77.66666666666667</x:v>
      </x:c>
      <x:c r="H31" s="15" t="n">
        <x:v>76</x:v>
      </x:c>
      <x:c r="I31" s="15" t="n">
        <x:f>G31-H31</x:f>
        <x:v>1.6666666666666714</x:v>
      </x:c>
      <x:c r="J31" s="18" t="n">
        <x:v>0.8300000000000001</x:v>
      </x:c>
      <x:c r="K31" s="9" t="str">
        <x:v>稳定</x:v>
      </x:c>
      <x:c r="L31" s="10" t="str">
        <x:f>IF(OR(G31&lt;75,J31&lt;0.85),"重点跟进",IF(I31&gt;=3,"进步表扬","常规关注"))</x:f>
        <x:v>重点跟进</x:v>
      </x:c>
    </x:row>
    <x:row r="32">
      <x:c r="A32" s="8" t="str">
        <x:v>31</x:v>
      </x:c>
      <x:c r="B32" s="9" t="str">
        <x:v>程望舒</x:v>
      </x:c>
      <x:c r="C32" s="15" t="n">
        <x:v>79</x:v>
      </x:c>
      <x:c r="D32" s="15" t="n">
        <x:v>97</x:v>
      </x:c>
      <x:c r="E32" s="15" t="n">
        <x:v>88</x:v>
      </x:c>
      <x:c r="F32" s="15" t="n">
        <x:f>SUM(C32:E32)</x:f>
        <x:v>264</x:v>
      </x:c>
      <x:c r="G32" s="15" t="n">
        <x:f>AVERAGE(C32:E32)</x:f>
        <x:v>88</x:v>
      </x:c>
      <x:c r="H32" s="15" t="n">
        <x:v>87</x:v>
      </x:c>
      <x:c r="I32" s="15" t="n">
        <x:f>G32-H32</x:f>
        <x:v>1</x:v>
      </x:c>
      <x:c r="J32" s="18" t="n">
        <x:v>0.9</x:v>
      </x:c>
      <x:c r="K32" s="9" t="str">
        <x:v>稳定</x:v>
      </x:c>
      <x:c r="L32" s="10" t="str">
        <x:f>IF(OR(G32&lt;75,J32&lt;0.85),"重点跟进",IF(I32&gt;=3,"进步表扬","常规关注"))</x:f>
        <x:v>常规关注</x:v>
      </x:c>
    </x:row>
    <x:row r="33">
      <x:c r="A33" s="8" t="str">
        <x:v>32</x:v>
      </x:c>
      <x:c r="B33" s="9" t="str">
        <x:v>苏锦程</x:v>
      </x:c>
      <x:c r="C33" s="15" t="n">
        <x:v>86</x:v>
      </x:c>
      <x:c r="D33" s="15" t="n">
        <x:v>77</x:v>
      </x:c>
      <x:c r="E33" s="15" t="n">
        <x:v>72</x:v>
      </x:c>
      <x:c r="F33" s="15" t="n">
        <x:f>SUM(C33:E33)</x:f>
        <x:v>235</x:v>
      </x:c>
      <x:c r="G33" s="15" t="n">
        <x:f>AVERAGE(C33:E33)</x:f>
        <x:v>78.33333333333333</x:v>
      </x:c>
      <x:c r="H33" s="15" t="n">
        <x:v>78</x:v>
      </x:c>
      <x:c r="I33" s="15" t="n">
        <x:f>G33-H33</x:f>
        <x:v>0.3333333333333286</x:v>
      </x:c>
      <x:c r="J33" s="18" t="n">
        <x:v>0.97</x:v>
      </x:c>
      <x:c r="K33" s="9" t="str">
        <x:v>需鼓励</x:v>
      </x:c>
      <x:c r="L33" s="10" t="str">
        <x:f>IF(OR(G33&lt;75,J33&lt;0.85),"重点跟进",IF(I33&gt;=3,"进步表扬","常规关注"))</x:f>
        <x:v>常规关注</x:v>
      </x:c>
    </x:row>
    <x:row r="34">
      <x:c r="A34" s="8" t="str">
        <x:v>33</x:v>
      </x:c>
      <x:c r="B34" s="9" t="str">
        <x:v>马乐瑶</x:v>
      </x:c>
      <x:c r="C34" s="15" t="n">
        <x:v>93</x:v>
      </x:c>
      <x:c r="D34" s="15" t="n">
        <x:v>88</x:v>
      </x:c>
      <x:c r="E34" s="15" t="n">
        <x:v>85</x:v>
      </x:c>
      <x:c r="F34" s="15" t="n">
        <x:f>SUM(C34:E34)</x:f>
        <x:v>266</x:v>
      </x:c>
      <x:c r="G34" s="15" t="n">
        <x:f>AVERAGE(C34:E34)</x:f>
        <x:v>88.66666666666667</x:v>
      </x:c>
      <x:c r="H34" s="15" t="n">
        <x:v>90</x:v>
      </x:c>
      <x:c r="I34" s="15" t="n">
        <x:f>G34-H34</x:f>
        <x:v>-1.3333333333333286</x:v>
      </x:c>
      <x:c r="J34" s="18" t="n">
        <x:v>0.8200000000000001</x:v>
      </x:c>
      <x:c r="K34" s="9" t="str">
        <x:v>积极</x:v>
      </x:c>
      <x:c r="L34" s="10" t="str">
        <x:f>IF(OR(G34&lt;75,J34&lt;0.85),"重点跟进",IF(I34&gt;=3,"进步表扬","常规关注"))</x:f>
        <x:v>重点跟进</x:v>
      </x:c>
    </x:row>
    <x:row r="35">
      <x:c r="A35" s="8" t="str">
        <x:v>34</x:v>
      </x:c>
      <x:c r="B35" s="9" t="str">
        <x:v>郭以宁</x:v>
      </x:c>
      <x:c r="C35" s="15" t="n">
        <x:v>73</x:v>
      </x:c>
      <x:c r="D35" s="15" t="n">
        <x:v>68</x:v>
      </x:c>
      <x:c r="E35" s="15" t="n">
        <x:v>98</x:v>
      </x:c>
      <x:c r="F35" s="15" t="n">
        <x:f>SUM(C35:E35)</x:f>
        <x:v>239</x:v>
      </x:c>
      <x:c r="G35" s="15" t="n">
        <x:f>AVERAGE(C35:E35)</x:f>
        <x:v>79.66666666666667</x:v>
      </x:c>
      <x:c r="H35" s="15" t="n">
        <x:v>82</x:v>
      </x:c>
      <x:c r="I35" s="15" t="n">
        <x:f>G35-H35</x:f>
        <x:v>-2.3333333333333286</x:v>
      </x:c>
      <x:c r="J35" s="18" t="n">
        <x:v>0.89</x:v>
      </x:c>
      <x:c r="K35" s="9" t="str">
        <x:v>稳定</x:v>
      </x:c>
      <x:c r="L35" s="10" t="str">
        <x:f>IF(OR(G35&lt;75,J35&lt;0.85),"重点跟进",IF(I35&gt;=3,"进步表扬","常规关注"))</x:f>
        <x:v>常规关注</x:v>
      </x:c>
    </x:row>
    <x:row r="36">
      <x:c r="A36" s="8" t="str">
        <x:v>35</x:v>
      </x:c>
      <x:c r="B36" s="9" t="str">
        <x:v>秦朗</x:v>
      </x:c>
      <x:c r="C36" s="15" t="n">
        <x:v>80</x:v>
      </x:c>
      <x:c r="D36" s="15" t="n">
        <x:v>79</x:v>
      </x:c>
      <x:c r="E36" s="15" t="n">
        <x:v>82</x:v>
      </x:c>
      <x:c r="F36" s="15" t="n">
        <x:f>SUM(C36:E36)</x:f>
        <x:v>241</x:v>
      </x:c>
      <x:c r="G36" s="15" t="n">
        <x:f>AVERAGE(C36:E36)</x:f>
        <x:v>80.33333333333333</x:v>
      </x:c>
      <x:c r="H36" s="15" t="n">
        <x:v>83</x:v>
      </x:c>
      <x:c r="I36" s="15" t="n">
        <x:f>G36-H36</x:f>
        <x:v>-2.6666666666666714</x:v>
      </x:c>
      <x:c r="J36" s="18" t="n">
        <x:v>0.96</x:v>
      </x:c>
      <x:c r="K36" s="9" t="str">
        <x:v>稳定</x:v>
      </x:c>
      <x:c r="L36" s="10" t="str">
        <x:f>IF(OR(G36&lt;75,J36&lt;0.85),"重点跟进",IF(I36&gt;=3,"进步表扬","常规关注"))</x:f>
        <x:v>常规关注</x:v>
      </x:c>
    </x:row>
    <x:row r="37">
      <x:c r="A37" s="11" t="str">
        <x:v>36</x:v>
      </x:c>
      <x:c r="B37" s="12" t="str">
        <x:v>夏清越</x:v>
      </x:c>
      <x:c r="C37" s="16" t="n">
        <x:v>87</x:v>
      </x:c>
      <x:c r="D37" s="16" t="n">
        <x:v>90</x:v>
      </x:c>
      <x:c r="E37" s="16" t="n">
        <x:v>95</x:v>
      </x:c>
      <x:c r="F37" s="16" t="n">
        <x:f>SUM(C37:E37)</x:f>
        <x:v>272</x:v>
      </x:c>
      <x:c r="G37" s="16" t="n">
        <x:f>AVERAGE(C37:E37)</x:f>
        <x:v>90.66666666666667</x:v>
      </x:c>
      <x:c r="H37" s="16" t="n">
        <x:v>88</x:v>
      </x:c>
      <x:c r="I37" s="16" t="n">
        <x:f>G37-H37</x:f>
        <x:v>2.6666666666666714</x:v>
      </x:c>
      <x:c r="J37" s="19" t="n">
        <x:v>0.81</x:v>
      </x:c>
      <x:c r="K37" s="12" t="str">
        <x:v>需鼓励</x:v>
      </x:c>
      <x:c r="L37" s="13" t="str">
        <x:f>IF(OR(G37&lt;75,J37&lt;0.85),"重点跟进",IF(I37&gt;=3,"进步表扬","常规关注"))</x:f>
        <x:v>重点跟进</x:v>
      </x:c>
    </x:row>
  </x:sheetData>
  <x:conditionalFormatting sqref="G2:G37">
    <x:cfRule type="colorScale" priority="1">
      <x:colorScale>
        <x:cfvo type="min"/>
        <x:cfvo type="percentile" val="50"/>
        <x:cfvo type="max"/>
        <x:color rgb="FFF7C9BD"/>
        <x:color rgb="FFFFF1C7"/>
        <x:color rgb="FFB7D9CC"/>
      </x:colorScale>
    </x:cfRule>
  </x:conditionalFormatting>
  <x:conditionalFormatting sqref="I2:I37">
    <x:cfRule type="dataBar" priority="2">
      <x:dataBar>
        <x:cfvo type="min"/>
        <x:cfvo type="max"/>
        <x:color rgb="FFE07A5F"/>
      </x:dataBar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10" hidden="0" customWidth="1"/>
    <x:col min="3" max="3" width="11.890000343322754" hidden="0" customWidth="1"/>
    <x:col min="4" max="4" width="11.890000343322754" hidden="0" customWidth="1"/>
    <x:col min="5" max="5" width="10" hidden="0" customWidth="1"/>
    <x:col min="6" max="6" width="34" hidden="0" customWidth="1"/>
  </x:cols>
  <x:sheetData>
    <x:row r="1" ht="28" customHeight="1">
      <x:c r="A1" s="3" t="str">
        <x:v>学科</x:v>
      </x:c>
      <x:c r="B1" s="3" t="str">
        <x:v>平均分</x:v>
      </x:c>
      <x:c r="C1" s="3" t="str">
        <x:v>优秀人数(&gt;=90)</x:v>
      </x:c>
      <x:c r="D1" s="3" t="str">
        <x:v>达标人数(&gt;=75)</x:v>
      </x:c>
      <x:c r="E1" s="3" t="str">
        <x:v>最高分</x:v>
      </x:c>
      <x:c r="F1" s="3" t="str">
        <x:v>主要观察</x:v>
      </x:c>
    </x:row>
    <x:row r="2">
      <x:c r="A2" s="22" t="str">
        <x:v>语文</x:v>
      </x:c>
      <x:c r="B2" s="23" t="n">
        <x:f>AVERAGE('学生明细'!C2:C37)</x:f>
        <x:v>84.5</x:v>
      </x:c>
      <x:c r="C2" s="23" t="n">
        <x:f>COUNTIF('学生明细'!C2:C37,"&gt;=90")</x:f>
        <x:v>11</x:v>
      </x:c>
      <x:c r="D2" s="23" t="n">
        <x:f>COUNTIF('学生明细'!C2:C37,"&gt;=75")</x:f>
        <x:v>31</x:v>
      </x:c>
      <x:c r="E2" s="23" t="n">
        <x:f>MAX('学生明细'!C2:C37)</x:f>
        <x:v>98</x:v>
      </x:c>
      <x:c r="F2" s="24" t="str">
        <x:v>阅读表达稳定，作文结构需加强</x:v>
      </x:c>
    </x:row>
    <x:row r="3">
      <x:c r="A3" s="25" t="str">
        <x:v>数学</x:v>
      </x:c>
      <x:c r="B3" s="26" t="n">
        <x:f>AVERAGE('学生明细'!D2:D37)</x:f>
        <x:v>82.63888888888889</x:v>
      </x:c>
      <x:c r="C3" s="26" t="n">
        <x:f>COUNTIF('学生明细'!D2:D37,"&gt;=90")</x:f>
        <x:v>10</x:v>
      </x:c>
      <x:c r="D3" s="26" t="n">
        <x:f>COUNTIF('学生明细'!D2:D37,"&gt;=75")</x:f>
        <x:v>28</x:v>
      </x:c>
      <x:c r="E3" s="26" t="n">
        <x:f>MAX('学生明细'!D2:D37)</x:f>
        <x:v>98</x:v>
      </x:c>
      <x:c r="F3" s="27" t="str">
        <x:v>计算基础分化，应用题是关键</x:v>
      </x:c>
    </x:row>
    <x:row r="4">
      <x:c r="A4" s="25" t="str">
        <x:v>英语</x:v>
      </x:c>
      <x:c r="B4" s="26" t="n">
        <x:f>AVERAGE('学生明细'!E2:E37)</x:f>
        <x:v>84.19444444444444</x:v>
      </x:c>
      <x:c r="C4" s="26" t="n">
        <x:f>COUNTIF('学生明细'!E2:E37,"&gt;=90")</x:f>
        <x:v>11</x:v>
      </x:c>
      <x:c r="D4" s="26" t="n">
        <x:f>COUNTIF('学生明细'!E2:E37,"&gt;=75")</x:f>
        <x:v>30</x:v>
      </x:c>
      <x:c r="E4" s="26" t="n">
        <x:f>MAX('学生明细'!E2:E37)</x:f>
        <x:v>98</x:v>
      </x:c>
      <x:c r="F4" s="27" t="str">
        <x:v>听说积极，词汇巩固需持续</x:v>
      </x:c>
    </x:row>
    <x:row r="5">
      <x:c r="A5" s="28" t="str">
        <x:v>三科合计</x:v>
      </x:c>
      <x:c r="B5" s="29" t="n">
        <x:f>AVERAGE('学生明细'!G2:G37)</x:f>
        <x:v>83.77777777777777</x:v>
      </x:c>
      <x:c r="C5" s="29" t="n">
        <x:f>COUNTIF('学生明细'!G2:G37,"&gt;=90")</x:f>
        <x:v>4</x:v>
      </x:c>
      <x:c r="D5" s="29" t="n">
        <x:f>COUNTIF('学生明细'!G2:G37,"&gt;=75")</x:f>
        <x:v>34</x:v>
      </x:c>
      <x:c r="E5" s="29" t="n">
        <x:f>MAX('学生明细'!G2:G37)</x:f>
        <x:v>93.66666666666667</x:v>
      </x:c>
      <x:c r="F5" s="30" t="str">
        <x:v>关注偏科与学习习惯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7.110000133514404" hidden="0" customWidth="1"/>
    <x:col min="3" max="3" width="25" hidden="0" customWidth="1"/>
    <x:col min="4" max="4" width="25" hidden="0" customWidth="1"/>
    <x:col min="5" max="5" width="25" hidden="0" customWidth="1"/>
    <x:col min="6" max="6" width="7.110000133514404" hidden="0" customWidth="1"/>
  </x:cols>
  <x:sheetData>
    <x:row r="1">
      <x:c r="A1" s="3" t="str">
        <x:v>学生</x:v>
      </x:c>
      <x:c r="B1" s="3" t="str">
        <x:v>关注类型</x:v>
      </x:c>
      <x:c r="C1" s="3" t="str">
        <x:v>观察证据</x:v>
      </x:c>
      <x:c r="D1" s="3" t="str">
        <x:v>两周行动</x:v>
      </x:c>
      <x:c r="E1" s="3" t="str">
        <x:v>家校沟通</x:v>
      </x:c>
      <x:c r="F1" s="3" t="str">
        <x:v>复盘日期</x:v>
      </x:c>
    </x:row>
    <x:row r="2">
      <x:c r="A2" s="5" t="str">
        <x:v>学生A</x:v>
      </x:c>
      <x:c r="B2" s="6" t="str">
        <x:v>学习习惯</x:v>
      </x:c>
      <x:c r="C2" s="6" t="str">
        <x:v>作业完成率低于85%</x:v>
      </x:c>
      <x:c r="D2" s="6" t="str">
        <x:v>每日任务卡+放学前检查</x:v>
      </x:c>
      <x:c r="E2" s="6" t="str">
        <x:v>一周一次简短反馈</x:v>
      </x:c>
      <x:c r="F2" s="71" t="n">
        <x:v>46283</x:v>
      </x:c>
    </x:row>
    <x:row r="3">
      <x:c r="A3" s="8" t="str">
        <x:v>学生B</x:v>
      </x:c>
      <x:c r="B3" s="9" t="str">
        <x:v>数学应用</x:v>
      </x:c>
      <x:c r="C3" s="9" t="str">
        <x:v>审题与数量关系薄弱</x:v>
      </x:c>
      <x:c r="D3" s="9" t="str">
        <x:v>每周2次应用题口述</x:v>
      </x:c>
      <x:c r="E3" s="9" t="str">
        <x:v>家长只检查过程</x:v>
      </x:c>
      <x:c r="F3" s="72" t="n">
        <x:v>46283</x:v>
      </x:c>
    </x:row>
    <x:row r="4">
      <x:c r="A4" s="8" t="str">
        <x:v>学生C</x:v>
      </x:c>
      <x:c r="B4" s="9" t="str">
        <x:v>阅读表达</x:v>
      </x:c>
      <x:c r="C4" s="9" t="str">
        <x:v>答案简短缺少依据</x:v>
      </x:c>
      <x:c r="D4" s="9" t="str">
        <x:v>使用“观点-依据”句式</x:v>
      </x:c>
      <x:c r="E4" s="9" t="str">
        <x:v>亲子共读10分钟</x:v>
      </x:c>
      <x:c r="F4" s="72" t="n">
        <x:v>46283</x:v>
      </x:c>
    </x:row>
    <x:row r="5">
      <x:c r="A5" s="8" t="str">
        <x:v>学生D</x:v>
      </x:c>
      <x:c r="B5" s="9" t="str">
        <x:v>课堂参与</x:v>
      </x:c>
      <x:c r="C5" s="9" t="str">
        <x:v>很少主动表达</x:v>
      </x:c>
      <x:c r="D5" s="9" t="str">
        <x:v>小组内先说再全班说</x:v>
      </x:c>
      <x:c r="E5" s="9" t="str">
        <x:v>鼓励过程不只看分数</x:v>
      </x:c>
      <x:c r="F5" s="72" t="n">
        <x:v>46283</x:v>
      </x:c>
    </x:row>
    <x:row r="6">
      <x:c r="A6" s="8" t="str">
        <x:v>学生E</x:v>
      </x:c>
      <x:c r="B6" s="9" t="str">
        <x:v>偏科</x:v>
      </x:c>
      <x:c r="C6" s="9" t="str">
        <x:v>英语高、数学低</x:v>
      </x:c>
      <x:c r="D6" s="9" t="str">
        <x:v>建立错题标签</x:v>
      </x:c>
      <x:c r="E6" s="9" t="str">
        <x:v>控制额外练习量</x:v>
      </x:c>
      <x:c r="F6" s="72" t="n">
        <x:v>46283</x:v>
      </x:c>
    </x:row>
    <x:row r="7">
      <x:c r="A7" s="8" t="str">
        <x:v>学生F</x:v>
      </x:c>
      <x:c r="B7" s="9" t="str">
        <x:v>情绪支持</x:v>
      </x:c>
      <x:c r="C7" s="9" t="str">
        <x:v>考试后自我评价偏低</x:v>
      </x:c>
      <x:c r="D7" s="9" t="str">
        <x:v>设置可完成的小目标</x:v>
      </x:c>
      <x:c r="E7" s="9" t="str">
        <x:v>强化进步证据</x:v>
      </x:c>
      <x:c r="F7" s="72" t="n">
        <x:v>46283</x:v>
      </x:c>
    </x:row>
    <x:row r="8">
      <x:c r="A8" s="8" t="str">
        <x:v>学生G</x:v>
      </x:c>
      <x:c r="B8" s="9" t="str">
        <x:v>进步巩固</x:v>
      </x:c>
      <x:c r="C8" s="9" t="str">
        <x:v>较上次提升明显</x:v>
      </x:c>
      <x:c r="D8" s="9" t="str">
        <x:v>保持当前节奏</x:v>
      </x:c>
      <x:c r="E8" s="9" t="str">
        <x:v>具体表扬学习方法</x:v>
      </x:c>
      <x:c r="F8" s="72" t="n">
        <x:v>46283</x:v>
      </x:c>
    </x:row>
    <x:row r="9">
      <x:c r="A9" s="11" t="str">
        <x:v>学生H</x:v>
      </x:c>
      <x:c r="B9" s="12" t="str">
        <x:v>书写规范</x:v>
      </x:c>
      <x:c r="C9" s="12" t="str">
        <x:v>步骤清楚但书写凌乱</x:v>
      </x:c>
      <x:c r="D9" s="12" t="str">
        <x:v>每日一题规范展示</x:v>
      </x:c>
      <x:c r="E9" s="12" t="str">
        <x:v>家校统一要求</x:v>
      </x:c>
      <x:c r="F9" s="73" t="n">
        <x:v>46283</x:v>
      </x:c>
    </x:row>
  </x:sheetData>
  <x:pageMargins left="0.7" right="0.7" top="0.75" bottom="0.75" header="0.3" footer="0.3"/>
</x:worksheet>
</file>